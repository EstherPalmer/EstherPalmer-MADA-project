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he\Documents\GitHub\EstherPalmer-MADA-project\data\raw-data\"/>
    </mc:Choice>
  </mc:AlternateContent>
  <xr:revisionPtr revIDLastSave="0" documentId="13_ncr:1_{5D5CDFC6-3B0A-410A-BCF1-D09FB4D98FBE}" xr6:coauthVersionLast="47" xr6:coauthVersionMax="47" xr10:uidLastSave="{00000000-0000-0000-0000-000000000000}"/>
  <bookViews>
    <workbookView xWindow="-110" yWindow="-110" windowWidth="19420" windowHeight="11500" activeTab="1" xr2:uid="{447D4815-5EE5-A74F-BEA3-77C832950E0E}"/>
  </bookViews>
  <sheets>
    <sheet name="CSS" sheetId="1" r:id="rId1"/>
    <sheet name="Weath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4" i="1" l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Z13" i="1"/>
  <c r="Z12" i="1"/>
  <c r="Z11" i="1"/>
  <c r="Z10" i="1"/>
  <c r="Z9" i="1"/>
  <c r="Z8" i="1"/>
  <c r="Z7" i="1"/>
  <c r="Z6" i="1"/>
  <c r="Z5" i="1"/>
  <c r="Z4" i="1"/>
  <c r="Z3" i="1"/>
  <c r="Z2" i="1"/>
</calcChain>
</file>

<file path=xl/sharedStrings.xml><?xml version="1.0" encoding="utf-8"?>
<sst xmlns="http://schemas.openxmlformats.org/spreadsheetml/2006/main" count="68" uniqueCount="58">
  <si>
    <t>Frequency</t>
  </si>
  <si>
    <t>Brazil I</t>
  </si>
  <si>
    <t>Montevideo II</t>
  </si>
  <si>
    <t>Muenchen I</t>
  </si>
  <si>
    <t>Rubislaw</t>
  </si>
  <si>
    <t>Typhimurium</t>
  </si>
  <si>
    <t>Give I</t>
  </si>
  <si>
    <t>Newport II</t>
  </si>
  <si>
    <t>Harford</t>
  </si>
  <si>
    <t>Cerro I</t>
  </si>
  <si>
    <t>Schwarzengrund</t>
  </si>
  <si>
    <t>DurbKokmPanaPomoReadII</t>
  </si>
  <si>
    <t>Sum</t>
  </si>
  <si>
    <t>Complexity</t>
  </si>
  <si>
    <t>COND</t>
  </si>
  <si>
    <t>TDS</t>
  </si>
  <si>
    <t>SALT</t>
  </si>
  <si>
    <t>pH</t>
  </si>
  <si>
    <t>DO</t>
  </si>
  <si>
    <t>TEMP ©</t>
  </si>
  <si>
    <t>FLOW</t>
  </si>
  <si>
    <t>Average Flow</t>
  </si>
  <si>
    <t>DEPTH (cm)</t>
  </si>
  <si>
    <t>WIDTH</t>
  </si>
  <si>
    <t>Max Temp</t>
  </si>
  <si>
    <t>Min Temp</t>
  </si>
  <si>
    <t>R.H (%)</t>
  </si>
  <si>
    <t>2 Inch Soil Temp</t>
  </si>
  <si>
    <t>4 Inch Soil Temp</t>
  </si>
  <si>
    <t>8 Inch Soil Temp</t>
  </si>
  <si>
    <t>Wind Speed (mph)</t>
  </si>
  <si>
    <t>Total Radiation (MJ/m2)</t>
  </si>
  <si>
    <t>Rain (in)</t>
  </si>
  <si>
    <t>ET (in)</t>
  </si>
  <si>
    <t>TURBIDITY</t>
  </si>
  <si>
    <t>9'1"</t>
  </si>
  <si>
    <t>10'7"</t>
  </si>
  <si>
    <t>10' 11"</t>
  </si>
  <si>
    <t>10'2"</t>
  </si>
  <si>
    <t>8'11"</t>
  </si>
  <si>
    <t>7'4"</t>
  </si>
  <si>
    <t>7'1"</t>
  </si>
  <si>
    <t>NA</t>
  </si>
  <si>
    <t>7'7"</t>
  </si>
  <si>
    <t>1.2"</t>
  </si>
  <si>
    <t>8'2"</t>
  </si>
  <si>
    <t>9'10"</t>
  </si>
  <si>
    <t>9' 10"</t>
  </si>
  <si>
    <t>12' 3"</t>
  </si>
  <si>
    <t>10' 0"</t>
  </si>
  <si>
    <t>Day</t>
  </si>
  <si>
    <t>7'5"</t>
  </si>
  <si>
    <t>7'3"</t>
  </si>
  <si>
    <t>7'6"</t>
  </si>
  <si>
    <t>9'7"</t>
  </si>
  <si>
    <t>8'6"</t>
  </si>
  <si>
    <t>8'4"</t>
  </si>
  <si>
    <t>9'2"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</si>
</sst>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8718A-142B-A64D-A8CE-47F52054126A}">
  <dimension ref="A1:Z14"/>
  <sheetViews>
    <sheetView workbookViewId="0">
      <selection activeCell="B25" sqref="B25"/>
    </sheetView>
  </sheetViews>
  <sheetFormatPr defaultColWidth="10.6640625" defaultRowHeight="16" x14ac:dyDescent="0.4"/>
  <sheetData>
    <row r="1" spans="1:26" x14ac:dyDescent="0.4">
      <c r="B1">
        <v>232</v>
      </c>
      <c r="C1">
        <v>239</v>
      </c>
      <c r="D1">
        <v>246</v>
      </c>
      <c r="E1">
        <v>253</v>
      </c>
      <c r="F1">
        <v>260</v>
      </c>
      <c r="G1">
        <v>267</v>
      </c>
      <c r="H1">
        <v>274</v>
      </c>
      <c r="I1">
        <v>281</v>
      </c>
      <c r="J1">
        <v>295</v>
      </c>
      <c r="K1">
        <v>302</v>
      </c>
      <c r="L1">
        <v>309</v>
      </c>
      <c r="M1">
        <v>316</v>
      </c>
      <c r="N1">
        <v>323</v>
      </c>
      <c r="O1">
        <v>330</v>
      </c>
      <c r="P1">
        <v>337</v>
      </c>
      <c r="Q1">
        <v>358</v>
      </c>
      <c r="R1">
        <v>393</v>
      </c>
      <c r="S1">
        <v>400</v>
      </c>
      <c r="T1">
        <v>407</v>
      </c>
      <c r="U1">
        <v>414</v>
      </c>
      <c r="V1">
        <v>421</v>
      </c>
      <c r="W1">
        <v>428</v>
      </c>
      <c r="X1">
        <v>435</v>
      </c>
      <c r="Y1">
        <v>442</v>
      </c>
      <c r="Z1" t="s">
        <v>0</v>
      </c>
    </row>
    <row r="2" spans="1:26" x14ac:dyDescent="0.4">
      <c r="A2" t="s">
        <v>1</v>
      </c>
      <c r="B2">
        <v>0</v>
      </c>
      <c r="C2">
        <v>0</v>
      </c>
      <c r="D2">
        <v>0</v>
      </c>
      <c r="E2">
        <v>0.49262410479280222</v>
      </c>
      <c r="F2">
        <v>2.9986008844044575E-2</v>
      </c>
      <c r="G2">
        <v>0</v>
      </c>
      <c r="H2">
        <v>0</v>
      </c>
      <c r="I2">
        <v>1.3453537075283829E-2</v>
      </c>
      <c r="J2">
        <v>4.979111571039839E-2</v>
      </c>
      <c r="K2">
        <v>0.12012758458304407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0.14443670111503945</v>
      </c>
      <c r="S2">
        <v>3.427450004837132E-2</v>
      </c>
      <c r="T2">
        <v>0</v>
      </c>
      <c r="U2">
        <v>0</v>
      </c>
      <c r="V2">
        <v>1.0987006670372446E-2</v>
      </c>
      <c r="W2">
        <v>3.7323806554561807E-2</v>
      </c>
      <c r="X2">
        <v>4.5219137637265046E-3</v>
      </c>
      <c r="Y2">
        <v>1.6054523569406929E-2</v>
      </c>
      <c r="Z2">
        <f>COUNTIF(B2:Y2,"&gt;0")</f>
        <v>11</v>
      </c>
    </row>
    <row r="3" spans="1:26" x14ac:dyDescent="0.4">
      <c r="A3" t="s">
        <v>2</v>
      </c>
      <c r="B3">
        <v>0</v>
      </c>
      <c r="C3">
        <v>0</v>
      </c>
      <c r="D3">
        <v>0</v>
      </c>
      <c r="E3">
        <v>0</v>
      </c>
      <c r="F3">
        <v>0.97001399115595544</v>
      </c>
      <c r="G3">
        <v>0</v>
      </c>
      <c r="H3">
        <v>0.60496600622660479</v>
      </c>
      <c r="I3">
        <v>0</v>
      </c>
      <c r="J3">
        <v>0</v>
      </c>
      <c r="K3">
        <v>0</v>
      </c>
      <c r="L3">
        <v>0.69147628163985408</v>
      </c>
      <c r="M3">
        <v>0</v>
      </c>
      <c r="N3">
        <v>0.93311023507794943</v>
      </c>
      <c r="O3">
        <v>1</v>
      </c>
      <c r="P3">
        <v>0.79155745393083554</v>
      </c>
      <c r="Q3">
        <v>0.69282848545636921</v>
      </c>
      <c r="R3">
        <v>0.37992929018221377</v>
      </c>
      <c r="S3">
        <v>0</v>
      </c>
      <c r="T3">
        <v>0.80777426147037723</v>
      </c>
      <c r="U3">
        <v>0.67544499149707848</v>
      </c>
      <c r="V3">
        <v>0.60568371317398562</v>
      </c>
      <c r="W3">
        <v>0.4447841577684627</v>
      </c>
      <c r="X3">
        <v>0.83856846547411057</v>
      </c>
      <c r="Y3">
        <v>0.4190930088812258</v>
      </c>
      <c r="Z3">
        <f t="shared" ref="Z3:Z13" si="0">COUNTIF(B3:Y3,"&gt;0")</f>
        <v>14</v>
      </c>
    </row>
    <row r="4" spans="1:26" x14ac:dyDescent="0.4">
      <c r="A4" t="s">
        <v>3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1.3992418653166095E-2</v>
      </c>
      <c r="J4">
        <v>0.27798091295849109</v>
      </c>
      <c r="K4">
        <v>0.50292988188230947</v>
      </c>
      <c r="L4">
        <v>4.2664436655115212E-2</v>
      </c>
      <c r="M4">
        <v>0.1309226502169385</v>
      </c>
      <c r="N4">
        <v>7.1710153516241311E-3</v>
      </c>
      <c r="O4">
        <v>0</v>
      </c>
      <c r="P4">
        <v>5.229282099141272E-2</v>
      </c>
      <c r="Q4">
        <v>0.11239969909729183</v>
      </c>
      <c r="R4">
        <v>0.2286510742453087</v>
      </c>
      <c r="S4">
        <v>3.8254764570117686E-2</v>
      </c>
      <c r="T4">
        <v>2.4107019025884767E-2</v>
      </c>
      <c r="U4">
        <v>0.13359526207279307</v>
      </c>
      <c r="V4">
        <v>0.1997898137854362</v>
      </c>
      <c r="W4">
        <v>0.20671148049691743</v>
      </c>
      <c r="X4">
        <v>2.6311415110398775E-2</v>
      </c>
      <c r="Y4">
        <v>0.32200678833620722</v>
      </c>
      <c r="Z4">
        <f t="shared" si="0"/>
        <v>17</v>
      </c>
    </row>
    <row r="5" spans="1:26" x14ac:dyDescent="0.4">
      <c r="A5" t="s">
        <v>4</v>
      </c>
      <c r="B5">
        <v>0</v>
      </c>
      <c r="C5">
        <v>5.6728874320147581E-2</v>
      </c>
      <c r="D5">
        <v>0</v>
      </c>
      <c r="E5">
        <v>0</v>
      </c>
      <c r="F5">
        <v>0</v>
      </c>
      <c r="G5">
        <v>8.7486533507024775E-2</v>
      </c>
      <c r="H5">
        <v>0.11259492299369699</v>
      </c>
      <c r="I5">
        <v>0</v>
      </c>
      <c r="J5">
        <v>0</v>
      </c>
      <c r="K5">
        <v>0.10804880061753257</v>
      </c>
      <c r="L5">
        <v>0</v>
      </c>
      <c r="M5">
        <v>7.3195152547444577E-3</v>
      </c>
      <c r="N5">
        <v>0</v>
      </c>
      <c r="O5">
        <v>0</v>
      </c>
      <c r="P5">
        <v>0.14183825309772377</v>
      </c>
      <c r="Q5">
        <v>0.19477181544633893</v>
      </c>
      <c r="R5">
        <v>0.24698293445743821</v>
      </c>
      <c r="S5">
        <v>0.92747073538151092</v>
      </c>
      <c r="T5">
        <v>0.16811871950373794</v>
      </c>
      <c r="U5">
        <v>0.1810927876303412</v>
      </c>
      <c r="V5">
        <v>0.18353946637020579</v>
      </c>
      <c r="W5">
        <v>0.11410353006886478</v>
      </c>
      <c r="X5">
        <v>0.13059820565176428</v>
      </c>
      <c r="Y5">
        <v>0.24284567921316008</v>
      </c>
      <c r="Z5">
        <f t="shared" si="0"/>
        <v>15</v>
      </c>
    </row>
    <row r="6" spans="1:26" x14ac:dyDescent="0.4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0.24976351656077891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8.0207532719649925E-3</v>
      </c>
      <c r="V6">
        <v>0</v>
      </c>
      <c r="W6">
        <v>0</v>
      </c>
      <c r="X6">
        <v>0</v>
      </c>
      <c r="Y6">
        <v>0</v>
      </c>
      <c r="Z6">
        <f t="shared" si="0"/>
        <v>2</v>
      </c>
    </row>
    <row r="7" spans="1:26" x14ac:dyDescent="0.4">
      <c r="A7" t="s">
        <v>6</v>
      </c>
      <c r="B7">
        <v>0</v>
      </c>
      <c r="C7">
        <v>0</v>
      </c>
      <c r="D7">
        <v>1</v>
      </c>
      <c r="E7">
        <v>0.50737589520719784</v>
      </c>
      <c r="F7">
        <v>0</v>
      </c>
      <c r="G7">
        <v>0</v>
      </c>
      <c r="H7">
        <v>2.8769598450987723E-2</v>
      </c>
      <c r="I7">
        <v>0</v>
      </c>
      <c r="J7">
        <v>0</v>
      </c>
      <c r="K7">
        <v>0.15401906001038945</v>
      </c>
      <c r="L7">
        <v>0</v>
      </c>
      <c r="M7">
        <v>0.40246976096488729</v>
      </c>
      <c r="N7">
        <v>5.9718749570426465E-2</v>
      </c>
      <c r="O7">
        <v>0</v>
      </c>
      <c r="P7">
        <v>1.4311471980027886E-2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f t="shared" si="0"/>
        <v>7</v>
      </c>
    </row>
    <row r="8" spans="1:26" x14ac:dyDescent="0.4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0.19707702511119329</v>
      </c>
      <c r="X8">
        <v>0</v>
      </c>
      <c r="Y8">
        <v>0</v>
      </c>
      <c r="Z8">
        <f t="shared" si="0"/>
        <v>1</v>
      </c>
    </row>
    <row r="9" spans="1:26" x14ac:dyDescent="0.4">
      <c r="A9" t="s">
        <v>8</v>
      </c>
      <c r="B9">
        <v>0</v>
      </c>
      <c r="C9">
        <v>0.94327112567985238</v>
      </c>
      <c r="D9">
        <v>0</v>
      </c>
      <c r="E9">
        <v>0</v>
      </c>
      <c r="F9">
        <v>0</v>
      </c>
      <c r="G9">
        <v>0.90434564368555936</v>
      </c>
      <c r="H9">
        <v>0.18199335558531549</v>
      </c>
      <c r="I9">
        <v>0.72279052771077101</v>
      </c>
      <c r="J9">
        <v>0.67222797133111045</v>
      </c>
      <c r="K9">
        <v>0.11487467290672448</v>
      </c>
      <c r="L9">
        <v>0.26585928170503076</v>
      </c>
      <c r="M9">
        <v>0.45928807356342982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f t="shared" si="0"/>
        <v>8</v>
      </c>
    </row>
    <row r="10" spans="1:26" x14ac:dyDescent="0.4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1.8462055278223113E-3</v>
      </c>
      <c r="V10">
        <v>0</v>
      </c>
      <c r="W10">
        <v>0</v>
      </c>
      <c r="X10">
        <v>0</v>
      </c>
      <c r="Y10">
        <v>0</v>
      </c>
      <c r="Z10">
        <f t="shared" si="0"/>
        <v>1</v>
      </c>
    </row>
    <row r="11" spans="1:26" x14ac:dyDescent="0.4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7.1676116743394899E-2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f t="shared" si="0"/>
        <v>1</v>
      </c>
    </row>
    <row r="12" spans="1:26" x14ac:dyDescent="0.4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8.1678228074159222E-3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f t="shared" si="0"/>
        <v>1</v>
      </c>
    </row>
    <row r="13" spans="1:26" x14ac:dyDescent="0.4">
      <c r="A13" t="s">
        <v>12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0.99999999999999989</v>
      </c>
      <c r="I13">
        <v>0.99999999999999978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1.0000000000000002</v>
      </c>
      <c r="S13">
        <v>0.99999999999999989</v>
      </c>
      <c r="T13">
        <v>0.99999999999999989</v>
      </c>
      <c r="U13">
        <v>1</v>
      </c>
      <c r="V13">
        <v>1</v>
      </c>
      <c r="W13">
        <v>1</v>
      </c>
      <c r="X13">
        <v>1</v>
      </c>
      <c r="Y13">
        <v>1</v>
      </c>
      <c r="Z13">
        <f t="shared" si="0"/>
        <v>24</v>
      </c>
    </row>
    <row r="14" spans="1:26" x14ac:dyDescent="0.4">
      <c r="A14" t="s">
        <v>13</v>
      </c>
      <c r="B14">
        <f>COUNTIF(B2:B12,"&gt;0")</f>
        <v>1</v>
      </c>
      <c r="C14">
        <f t="shared" ref="C14:Y14" si="1">COUNTIF(C2:C12,"&gt;0")</f>
        <v>2</v>
      </c>
      <c r="D14">
        <f t="shared" si="1"/>
        <v>1</v>
      </c>
      <c r="E14">
        <f t="shared" si="1"/>
        <v>2</v>
      </c>
      <c r="F14">
        <f t="shared" si="1"/>
        <v>2</v>
      </c>
      <c r="G14">
        <f t="shared" si="1"/>
        <v>3</v>
      </c>
      <c r="H14">
        <f t="shared" si="1"/>
        <v>5</v>
      </c>
      <c r="I14">
        <f t="shared" si="1"/>
        <v>4</v>
      </c>
      <c r="J14">
        <f t="shared" si="1"/>
        <v>3</v>
      </c>
      <c r="K14">
        <f t="shared" si="1"/>
        <v>5</v>
      </c>
      <c r="L14">
        <f t="shared" si="1"/>
        <v>3</v>
      </c>
      <c r="M14">
        <f t="shared" si="1"/>
        <v>4</v>
      </c>
      <c r="N14">
        <f t="shared" si="1"/>
        <v>3</v>
      </c>
      <c r="O14">
        <f t="shared" si="1"/>
        <v>1</v>
      </c>
      <c r="P14">
        <f t="shared" si="1"/>
        <v>4</v>
      </c>
      <c r="Q14">
        <f t="shared" si="1"/>
        <v>3</v>
      </c>
      <c r="R14">
        <f t="shared" si="1"/>
        <v>4</v>
      </c>
      <c r="S14">
        <f t="shared" si="1"/>
        <v>3</v>
      </c>
      <c r="T14">
        <f t="shared" si="1"/>
        <v>3</v>
      </c>
      <c r="U14">
        <f t="shared" si="1"/>
        <v>5</v>
      </c>
      <c r="V14">
        <f t="shared" si="1"/>
        <v>4</v>
      </c>
      <c r="W14">
        <f t="shared" si="1"/>
        <v>5</v>
      </c>
      <c r="X14">
        <f t="shared" si="1"/>
        <v>4</v>
      </c>
      <c r="Y14">
        <f t="shared" si="1"/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D257-938C-9B48-8F46-DEBD53398B44}">
  <dimension ref="A1:Y27"/>
  <sheetViews>
    <sheetView tabSelected="1" workbookViewId="0">
      <selection activeCell="Z4" sqref="Z4"/>
    </sheetView>
  </sheetViews>
  <sheetFormatPr defaultColWidth="10.6640625" defaultRowHeight="16" x14ac:dyDescent="0.4"/>
  <sheetData>
    <row r="1" spans="1:25" x14ac:dyDescent="0.4">
      <c r="A1" t="s">
        <v>50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20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13</v>
      </c>
    </row>
    <row r="2" spans="1:25" x14ac:dyDescent="0.4">
      <c r="A2">
        <v>232</v>
      </c>
      <c r="B2">
        <v>78.8</v>
      </c>
      <c r="C2">
        <v>56.6</v>
      </c>
      <c r="D2">
        <v>0</v>
      </c>
      <c r="E2">
        <v>7.13</v>
      </c>
      <c r="F2">
        <v>0.3</v>
      </c>
      <c r="G2">
        <v>5.2</v>
      </c>
      <c r="H2">
        <v>0.2</v>
      </c>
      <c r="I2">
        <v>0.1</v>
      </c>
      <c r="J2">
        <v>0.2</v>
      </c>
      <c r="L2">
        <v>14</v>
      </c>
      <c r="M2" t="s">
        <v>51</v>
      </c>
      <c r="N2">
        <v>53</v>
      </c>
      <c r="O2">
        <v>29.3</v>
      </c>
      <c r="P2">
        <v>44</v>
      </c>
      <c r="Q2">
        <v>40.4</v>
      </c>
      <c r="R2">
        <v>40.9</v>
      </c>
      <c r="S2">
        <v>42.5</v>
      </c>
      <c r="T2">
        <v>4.5</v>
      </c>
      <c r="U2">
        <v>13.53</v>
      </c>
      <c r="V2">
        <v>0</v>
      </c>
      <c r="W2">
        <v>0.04</v>
      </c>
      <c r="X2">
        <v>5.05</v>
      </c>
    </row>
    <row r="3" spans="1:25" x14ac:dyDescent="0.4">
      <c r="A3">
        <v>239</v>
      </c>
      <c r="B3">
        <v>106.2</v>
      </c>
      <c r="C3">
        <v>75.7</v>
      </c>
      <c r="D3">
        <v>0</v>
      </c>
      <c r="E3">
        <v>7.15</v>
      </c>
      <c r="F3">
        <v>0</v>
      </c>
      <c r="G3">
        <v>3.1</v>
      </c>
      <c r="H3">
        <v>0.1</v>
      </c>
      <c r="I3">
        <v>0.1</v>
      </c>
      <c r="J3">
        <v>0.1</v>
      </c>
      <c r="L3">
        <v>19</v>
      </c>
      <c r="M3" t="s">
        <v>40</v>
      </c>
      <c r="N3">
        <v>30.2</v>
      </c>
      <c r="O3">
        <v>18.399999999999999</v>
      </c>
      <c r="P3">
        <v>58</v>
      </c>
      <c r="Q3">
        <v>33.9</v>
      </c>
      <c r="R3">
        <v>34.799999999999997</v>
      </c>
      <c r="S3">
        <v>39</v>
      </c>
      <c r="T3">
        <v>3.6</v>
      </c>
      <c r="U3">
        <v>3.71</v>
      </c>
      <c r="V3">
        <v>0</v>
      </c>
      <c r="W3">
        <v>0.01</v>
      </c>
      <c r="X3">
        <v>2.19</v>
      </c>
    </row>
    <row r="4" spans="1:25" x14ac:dyDescent="0.4">
      <c r="A4">
        <v>246</v>
      </c>
      <c r="B4">
        <v>119.7</v>
      </c>
      <c r="C4">
        <v>99.4</v>
      </c>
      <c r="D4">
        <v>0</v>
      </c>
      <c r="E4">
        <v>7.28</v>
      </c>
      <c r="F4">
        <v>0.25</v>
      </c>
      <c r="G4">
        <v>5.7</v>
      </c>
      <c r="H4">
        <v>0.2</v>
      </c>
      <c r="I4">
        <v>0.2</v>
      </c>
      <c r="J4">
        <v>0.2</v>
      </c>
      <c r="L4">
        <v>18</v>
      </c>
      <c r="M4" t="s">
        <v>51</v>
      </c>
      <c r="N4">
        <v>57.6</v>
      </c>
      <c r="O4">
        <v>32.700000000000003</v>
      </c>
      <c r="P4">
        <v>58</v>
      </c>
      <c r="Q4">
        <v>43.4</v>
      </c>
      <c r="R4">
        <v>43.6</v>
      </c>
      <c r="S4">
        <v>44</v>
      </c>
      <c r="T4">
        <v>3.9</v>
      </c>
      <c r="U4">
        <v>15.1</v>
      </c>
      <c r="V4">
        <v>0</v>
      </c>
      <c r="W4">
        <v>0.06</v>
      </c>
      <c r="X4">
        <v>2.14</v>
      </c>
    </row>
    <row r="5" spans="1:25" x14ac:dyDescent="0.4">
      <c r="A5">
        <v>253</v>
      </c>
      <c r="B5">
        <v>163</v>
      </c>
      <c r="C5">
        <v>115</v>
      </c>
      <c r="D5">
        <v>0</v>
      </c>
      <c r="E5">
        <v>7.12</v>
      </c>
      <c r="F5">
        <v>0</v>
      </c>
      <c r="G5">
        <v>15.7</v>
      </c>
      <c r="H5">
        <v>0.2</v>
      </c>
      <c r="I5">
        <v>0.2</v>
      </c>
      <c r="J5">
        <v>0.2</v>
      </c>
      <c r="L5">
        <v>19</v>
      </c>
      <c r="M5" t="s">
        <v>52</v>
      </c>
      <c r="N5">
        <v>77.900000000000006</v>
      </c>
      <c r="O5">
        <v>50.3</v>
      </c>
      <c r="P5">
        <v>65.900000000000006</v>
      </c>
      <c r="Q5">
        <v>57.4</v>
      </c>
      <c r="R5">
        <v>58</v>
      </c>
      <c r="S5">
        <v>57</v>
      </c>
      <c r="T5">
        <v>2.6</v>
      </c>
      <c r="U5">
        <v>15.03</v>
      </c>
      <c r="V5">
        <v>0</v>
      </c>
      <c r="W5">
        <v>0.08</v>
      </c>
      <c r="X5">
        <v>1.95</v>
      </c>
    </row>
    <row r="6" spans="1:25" x14ac:dyDescent="0.4">
      <c r="A6">
        <v>260</v>
      </c>
      <c r="B6">
        <v>88.6</v>
      </c>
      <c r="C6">
        <v>63.2</v>
      </c>
      <c r="D6">
        <v>0</v>
      </c>
      <c r="E6">
        <v>7.16</v>
      </c>
      <c r="F6">
        <v>0.21</v>
      </c>
      <c r="G6">
        <v>11.1</v>
      </c>
      <c r="H6">
        <v>0.2</v>
      </c>
      <c r="I6">
        <v>0.2</v>
      </c>
      <c r="J6">
        <v>0.2</v>
      </c>
      <c r="L6">
        <v>18.5</v>
      </c>
      <c r="M6" t="s">
        <v>43</v>
      </c>
      <c r="N6">
        <v>49</v>
      </c>
      <c r="O6">
        <v>36.4</v>
      </c>
      <c r="P6">
        <v>88.2</v>
      </c>
      <c r="Q6">
        <v>51.1</v>
      </c>
      <c r="R6">
        <v>52.1</v>
      </c>
      <c r="S6">
        <v>55.6</v>
      </c>
      <c r="T6">
        <v>4.2</v>
      </c>
      <c r="U6">
        <v>1.6</v>
      </c>
      <c r="V6">
        <v>0.16</v>
      </c>
      <c r="W6">
        <v>0.01</v>
      </c>
    </row>
    <row r="7" spans="1:25" x14ac:dyDescent="0.4">
      <c r="A7">
        <v>267</v>
      </c>
      <c r="B7">
        <v>124.5</v>
      </c>
      <c r="C7">
        <v>87.3</v>
      </c>
      <c r="D7">
        <v>0</v>
      </c>
      <c r="E7">
        <v>6.95</v>
      </c>
      <c r="F7">
        <v>0</v>
      </c>
      <c r="G7">
        <v>7.3</v>
      </c>
      <c r="H7">
        <v>0.4</v>
      </c>
      <c r="I7">
        <v>0.4</v>
      </c>
      <c r="J7">
        <v>0.5</v>
      </c>
      <c r="L7">
        <v>19</v>
      </c>
      <c r="M7" t="s">
        <v>53</v>
      </c>
      <c r="N7">
        <v>57.9</v>
      </c>
      <c r="O7">
        <v>26.8</v>
      </c>
      <c r="P7">
        <v>56.5</v>
      </c>
      <c r="Q7">
        <v>45.7</v>
      </c>
      <c r="R7">
        <v>45.9</v>
      </c>
      <c r="S7">
        <v>47</v>
      </c>
      <c r="T7" t="s">
        <v>42</v>
      </c>
      <c r="U7">
        <v>14.48</v>
      </c>
      <c r="V7">
        <v>0</v>
      </c>
      <c r="W7">
        <v>0.06</v>
      </c>
      <c r="X7">
        <v>6.53</v>
      </c>
    </row>
    <row r="8" spans="1:25" x14ac:dyDescent="0.4">
      <c r="A8">
        <v>274</v>
      </c>
      <c r="B8">
        <v>115.2</v>
      </c>
      <c r="C8">
        <v>82.3</v>
      </c>
      <c r="D8">
        <v>0</v>
      </c>
      <c r="E8">
        <v>6.93</v>
      </c>
      <c r="F8">
        <v>0.18</v>
      </c>
      <c r="G8">
        <v>8.8000000000000007</v>
      </c>
      <c r="H8">
        <v>0.2</v>
      </c>
      <c r="I8">
        <v>0.2</v>
      </c>
      <c r="J8">
        <v>0.2</v>
      </c>
      <c r="L8">
        <v>16.5</v>
      </c>
      <c r="M8" t="s">
        <v>43</v>
      </c>
      <c r="N8">
        <v>73.400000000000006</v>
      </c>
      <c r="O8">
        <v>36.5</v>
      </c>
      <c r="P8">
        <v>52.5</v>
      </c>
      <c r="Q8">
        <v>53.4</v>
      </c>
      <c r="R8">
        <v>53</v>
      </c>
      <c r="S8">
        <v>51.2</v>
      </c>
      <c r="T8">
        <v>2.9</v>
      </c>
      <c r="U8">
        <v>19.3</v>
      </c>
      <c r="V8">
        <v>0</v>
      </c>
      <c r="W8">
        <v>0.11</v>
      </c>
      <c r="X8">
        <v>2.77</v>
      </c>
    </row>
    <row r="9" spans="1:25" x14ac:dyDescent="0.4">
      <c r="A9">
        <v>281</v>
      </c>
      <c r="B9">
        <v>86.5</v>
      </c>
      <c r="C9">
        <v>61.6</v>
      </c>
      <c r="D9">
        <v>0</v>
      </c>
      <c r="E9">
        <v>7.12</v>
      </c>
      <c r="F9">
        <v>0.31</v>
      </c>
      <c r="G9">
        <v>10.1</v>
      </c>
      <c r="H9">
        <v>0.2</v>
      </c>
      <c r="I9">
        <v>0.2</v>
      </c>
      <c r="J9">
        <v>0.2</v>
      </c>
      <c r="L9">
        <v>14</v>
      </c>
      <c r="M9" t="s">
        <v>54</v>
      </c>
      <c r="N9">
        <v>68</v>
      </c>
      <c r="O9">
        <v>35.799999999999997</v>
      </c>
      <c r="P9">
        <v>61.9</v>
      </c>
      <c r="Q9">
        <v>52.7</v>
      </c>
      <c r="R9">
        <v>52.4</v>
      </c>
      <c r="S9">
        <v>52.5</v>
      </c>
      <c r="T9">
        <v>4.9000000000000004</v>
      </c>
      <c r="U9">
        <v>8.2799999999999994</v>
      </c>
      <c r="V9">
        <v>0</v>
      </c>
      <c r="W9">
        <v>0.05</v>
      </c>
      <c r="X9">
        <v>2.2400000000000002</v>
      </c>
    </row>
    <row r="10" spans="1:25" x14ac:dyDescent="0.4">
      <c r="A10">
        <v>288</v>
      </c>
      <c r="B10">
        <v>70.900000000000006</v>
      </c>
      <c r="C10">
        <v>50.4</v>
      </c>
      <c r="D10">
        <v>0</v>
      </c>
      <c r="E10">
        <v>6.96</v>
      </c>
      <c r="F10">
        <v>0.14000000000000001</v>
      </c>
      <c r="G10">
        <v>8.6</v>
      </c>
      <c r="H10">
        <v>0.5</v>
      </c>
      <c r="I10">
        <v>0.5</v>
      </c>
      <c r="J10">
        <v>0.5</v>
      </c>
      <c r="L10">
        <v>17.5</v>
      </c>
      <c r="M10" t="s">
        <v>55</v>
      </c>
      <c r="N10">
        <v>73.5</v>
      </c>
      <c r="O10">
        <v>37.6</v>
      </c>
      <c r="P10">
        <v>53.7</v>
      </c>
      <c r="Q10">
        <v>52.9</v>
      </c>
      <c r="R10">
        <v>52.5</v>
      </c>
      <c r="S10">
        <v>51.2</v>
      </c>
      <c r="T10">
        <v>2.5</v>
      </c>
      <c r="U10">
        <v>22.05</v>
      </c>
      <c r="V10">
        <v>0.01</v>
      </c>
      <c r="W10">
        <v>0.13</v>
      </c>
      <c r="X10">
        <v>5.1100000000000003</v>
      </c>
    </row>
    <row r="11" spans="1:25" x14ac:dyDescent="0.4">
      <c r="A11">
        <v>295</v>
      </c>
      <c r="B11">
        <v>119.5</v>
      </c>
      <c r="C11">
        <v>84.7</v>
      </c>
      <c r="D11">
        <v>0</v>
      </c>
      <c r="E11">
        <v>6.97</v>
      </c>
      <c r="F11">
        <v>0.22</v>
      </c>
      <c r="G11">
        <v>10.3</v>
      </c>
      <c r="H11">
        <v>0.5</v>
      </c>
      <c r="I11">
        <v>0.5</v>
      </c>
      <c r="J11">
        <v>0.4</v>
      </c>
      <c r="L11">
        <v>16</v>
      </c>
      <c r="M11" t="s">
        <v>56</v>
      </c>
      <c r="N11">
        <v>75</v>
      </c>
      <c r="O11">
        <v>36.200000000000003</v>
      </c>
      <c r="P11">
        <v>36.6</v>
      </c>
      <c r="Q11">
        <v>57.8</v>
      </c>
      <c r="R11">
        <v>57.4</v>
      </c>
      <c r="S11">
        <v>56.9</v>
      </c>
      <c r="T11">
        <v>2.5</v>
      </c>
      <c r="U11">
        <v>23.3</v>
      </c>
      <c r="V11">
        <v>0</v>
      </c>
      <c r="W11">
        <v>0.14000000000000001</v>
      </c>
      <c r="X11">
        <v>2.2200000000000002</v>
      </c>
    </row>
    <row r="12" spans="1:25" x14ac:dyDescent="0.4">
      <c r="A12">
        <v>302</v>
      </c>
      <c r="B12">
        <v>116.6</v>
      </c>
      <c r="C12">
        <v>82.9</v>
      </c>
      <c r="D12">
        <v>0</v>
      </c>
      <c r="E12">
        <v>7.02</v>
      </c>
      <c r="F12">
        <v>0.32</v>
      </c>
      <c r="G12">
        <v>11.3</v>
      </c>
      <c r="H12">
        <v>0.4</v>
      </c>
      <c r="I12">
        <v>0.4</v>
      </c>
      <c r="J12">
        <v>0.4</v>
      </c>
      <c r="L12">
        <v>15</v>
      </c>
      <c r="M12" t="s">
        <v>57</v>
      </c>
      <c r="N12">
        <v>76.900000000000006</v>
      </c>
      <c r="O12">
        <v>40.799999999999997</v>
      </c>
      <c r="P12">
        <v>44.9</v>
      </c>
      <c r="Q12">
        <v>58.8</v>
      </c>
      <c r="R12">
        <v>58.4</v>
      </c>
      <c r="S12">
        <v>57.8</v>
      </c>
      <c r="T12">
        <v>4.3</v>
      </c>
      <c r="U12">
        <v>23.53</v>
      </c>
      <c r="V12">
        <v>0.01</v>
      </c>
      <c r="W12">
        <v>0.16</v>
      </c>
      <c r="X12">
        <v>5.04</v>
      </c>
    </row>
    <row r="13" spans="1:25" x14ac:dyDescent="0.4">
      <c r="A13">
        <v>309</v>
      </c>
      <c r="B13">
        <v>95.4</v>
      </c>
      <c r="C13">
        <v>68.7</v>
      </c>
      <c r="D13">
        <v>0</v>
      </c>
      <c r="E13">
        <v>6.97</v>
      </c>
      <c r="F13">
        <v>0.2</v>
      </c>
      <c r="G13">
        <v>14.7</v>
      </c>
      <c r="H13">
        <v>0.5</v>
      </c>
      <c r="I13">
        <v>0.5</v>
      </c>
      <c r="J13">
        <v>0.4</v>
      </c>
      <c r="K13">
        <v>0.46666666666666662</v>
      </c>
      <c r="L13">
        <v>15.5</v>
      </c>
      <c r="M13" t="s">
        <v>35</v>
      </c>
      <c r="N13">
        <v>77.099999999999994</v>
      </c>
      <c r="O13">
        <v>46.3</v>
      </c>
      <c r="P13">
        <v>59.6</v>
      </c>
      <c r="Q13">
        <v>64.599999999999994</v>
      </c>
      <c r="R13">
        <v>64.099999999999994</v>
      </c>
      <c r="S13">
        <v>62.9</v>
      </c>
      <c r="T13">
        <v>2.6</v>
      </c>
      <c r="U13">
        <v>23.96</v>
      </c>
      <c r="V13">
        <v>0</v>
      </c>
      <c r="W13">
        <v>0.16</v>
      </c>
      <c r="X13">
        <v>2.11</v>
      </c>
      <c r="Y13">
        <v>3</v>
      </c>
    </row>
    <row r="14" spans="1:25" x14ac:dyDescent="0.4">
      <c r="A14">
        <v>316</v>
      </c>
      <c r="B14">
        <v>34.9</v>
      </c>
      <c r="C14">
        <v>22.1</v>
      </c>
      <c r="D14">
        <v>0</v>
      </c>
      <c r="E14">
        <v>6.88</v>
      </c>
      <c r="F14">
        <v>0.1</v>
      </c>
      <c r="G14">
        <v>14.3</v>
      </c>
      <c r="H14">
        <v>1.2</v>
      </c>
      <c r="I14">
        <v>1.1000000000000001</v>
      </c>
      <c r="J14">
        <v>1.2</v>
      </c>
      <c r="K14">
        <v>1.1666666666666667</v>
      </c>
      <c r="L14">
        <v>18</v>
      </c>
      <c r="M14" t="s">
        <v>36</v>
      </c>
      <c r="N14">
        <v>65.599999999999994</v>
      </c>
      <c r="O14">
        <v>42.5</v>
      </c>
      <c r="P14">
        <v>59</v>
      </c>
      <c r="Q14">
        <v>61.3</v>
      </c>
      <c r="R14">
        <v>61.3</v>
      </c>
      <c r="S14">
        <v>62.4</v>
      </c>
      <c r="T14">
        <v>4.5</v>
      </c>
      <c r="U14">
        <v>25.88</v>
      </c>
      <c r="V14">
        <v>0</v>
      </c>
      <c r="W14">
        <v>0.16</v>
      </c>
      <c r="X14">
        <v>11.22</v>
      </c>
      <c r="Y14">
        <v>4</v>
      </c>
    </row>
    <row r="15" spans="1:25" x14ac:dyDescent="0.4">
      <c r="A15">
        <v>323</v>
      </c>
      <c r="B15">
        <v>84.7</v>
      </c>
      <c r="C15">
        <v>60.1</v>
      </c>
      <c r="D15">
        <v>0</v>
      </c>
      <c r="E15">
        <v>6.94</v>
      </c>
      <c r="F15">
        <v>0.15</v>
      </c>
      <c r="G15">
        <v>16.2</v>
      </c>
      <c r="H15">
        <v>0.5</v>
      </c>
      <c r="I15">
        <v>0.5</v>
      </c>
      <c r="J15">
        <v>0.5</v>
      </c>
      <c r="K15">
        <v>0.5</v>
      </c>
      <c r="L15">
        <v>12.5</v>
      </c>
      <c r="M15" t="s">
        <v>37</v>
      </c>
      <c r="N15">
        <v>71</v>
      </c>
      <c r="O15">
        <v>50.2</v>
      </c>
      <c r="P15">
        <v>43.2</v>
      </c>
      <c r="Q15">
        <v>67.3</v>
      </c>
      <c r="R15">
        <v>66.8</v>
      </c>
      <c r="S15">
        <v>66</v>
      </c>
      <c r="T15">
        <v>6.8</v>
      </c>
      <c r="U15">
        <v>24.34</v>
      </c>
      <c r="V15">
        <v>0</v>
      </c>
      <c r="W15">
        <v>0.18</v>
      </c>
      <c r="X15">
        <v>3.38</v>
      </c>
      <c r="Y15">
        <v>3</v>
      </c>
    </row>
    <row r="16" spans="1:25" x14ac:dyDescent="0.4">
      <c r="A16">
        <v>330</v>
      </c>
      <c r="B16">
        <v>94.4</v>
      </c>
      <c r="C16">
        <v>67</v>
      </c>
      <c r="D16">
        <v>0</v>
      </c>
      <c r="E16">
        <v>7.16</v>
      </c>
      <c r="F16">
        <v>0.01</v>
      </c>
      <c r="G16">
        <v>17.600000000000001</v>
      </c>
      <c r="H16">
        <v>0.4</v>
      </c>
      <c r="I16">
        <v>0.4</v>
      </c>
      <c r="J16">
        <v>0.4</v>
      </c>
      <c r="K16">
        <v>0.40000000000000008</v>
      </c>
      <c r="L16">
        <v>14.5</v>
      </c>
      <c r="M16" t="s">
        <v>38</v>
      </c>
      <c r="N16">
        <v>76</v>
      </c>
      <c r="O16">
        <v>63.4</v>
      </c>
      <c r="P16">
        <v>78.400000000000006</v>
      </c>
      <c r="Q16">
        <v>72</v>
      </c>
      <c r="R16">
        <v>71.7</v>
      </c>
      <c r="S16">
        <v>71.400000000000006</v>
      </c>
      <c r="T16">
        <v>2.5</v>
      </c>
      <c r="U16">
        <v>12.31</v>
      </c>
      <c r="V16">
        <v>0.03</v>
      </c>
      <c r="W16">
        <v>0.1</v>
      </c>
      <c r="X16">
        <v>2.74</v>
      </c>
      <c r="Y16">
        <v>1</v>
      </c>
    </row>
    <row r="17" spans="1:25" x14ac:dyDescent="0.4">
      <c r="A17">
        <v>337</v>
      </c>
      <c r="B17">
        <v>102.1</v>
      </c>
      <c r="C17">
        <v>73</v>
      </c>
      <c r="D17">
        <v>0</v>
      </c>
      <c r="E17">
        <v>7.11</v>
      </c>
      <c r="F17">
        <v>0.19</v>
      </c>
      <c r="G17">
        <v>17.899999999999999</v>
      </c>
      <c r="H17">
        <v>0.2</v>
      </c>
      <c r="I17">
        <v>0.2</v>
      </c>
      <c r="J17">
        <v>0.2</v>
      </c>
      <c r="K17">
        <v>0.20000000000000004</v>
      </c>
      <c r="L17">
        <v>11</v>
      </c>
      <c r="M17" s="1" t="s">
        <v>47</v>
      </c>
      <c r="N17">
        <v>79</v>
      </c>
      <c r="O17">
        <v>59.2</v>
      </c>
      <c r="P17">
        <v>72.099999999999994</v>
      </c>
      <c r="Q17">
        <v>74.099999999999994</v>
      </c>
      <c r="R17">
        <v>73.099999999999994</v>
      </c>
      <c r="S17">
        <v>71.599999999999994</v>
      </c>
      <c r="T17">
        <v>2.5</v>
      </c>
      <c r="U17">
        <v>26.54</v>
      </c>
      <c r="V17">
        <v>0</v>
      </c>
      <c r="W17">
        <v>0.21</v>
      </c>
      <c r="X17">
        <v>2.91</v>
      </c>
      <c r="Y17">
        <v>4</v>
      </c>
    </row>
    <row r="18" spans="1:25" x14ac:dyDescent="0.4">
      <c r="A18">
        <v>344</v>
      </c>
      <c r="B18">
        <v>95.5</v>
      </c>
      <c r="C18">
        <v>66</v>
      </c>
      <c r="D18">
        <v>0</v>
      </c>
      <c r="E18">
        <v>7.14</v>
      </c>
      <c r="F18">
        <v>0.14000000000000001</v>
      </c>
      <c r="G18">
        <v>15.3</v>
      </c>
      <c r="H18">
        <v>0.3</v>
      </c>
      <c r="I18">
        <v>0.2</v>
      </c>
      <c r="J18">
        <v>0.2</v>
      </c>
      <c r="K18">
        <v>0.23333333333333331</v>
      </c>
      <c r="L18">
        <v>11</v>
      </c>
      <c r="M18" s="1" t="s">
        <v>48</v>
      </c>
      <c r="N18">
        <v>78.2</v>
      </c>
      <c r="O18">
        <v>47.3</v>
      </c>
      <c r="P18">
        <v>65.400000000000006</v>
      </c>
      <c r="Q18">
        <v>70.599999999999994</v>
      </c>
      <c r="R18">
        <v>69.400000000000006</v>
      </c>
      <c r="S18">
        <v>68.400000000000006</v>
      </c>
      <c r="T18">
        <v>1.9</v>
      </c>
      <c r="U18">
        <v>29.09</v>
      </c>
      <c r="V18">
        <v>0</v>
      </c>
      <c r="W18">
        <v>0.22</v>
      </c>
      <c r="X18">
        <v>5.92</v>
      </c>
      <c r="Y18">
        <v>4</v>
      </c>
    </row>
    <row r="19" spans="1:25" x14ac:dyDescent="0.4">
      <c r="A19">
        <v>358</v>
      </c>
      <c r="B19">
        <v>76.900000000000006</v>
      </c>
      <c r="C19">
        <v>55.1</v>
      </c>
      <c r="D19">
        <v>0</v>
      </c>
      <c r="E19">
        <v>7.2</v>
      </c>
      <c r="F19">
        <v>0</v>
      </c>
      <c r="G19">
        <v>20.5</v>
      </c>
      <c r="H19">
        <v>0.1</v>
      </c>
      <c r="I19">
        <v>0.2</v>
      </c>
      <c r="J19">
        <v>0.3</v>
      </c>
      <c r="K19">
        <v>0.20000000000000004</v>
      </c>
      <c r="L19">
        <v>12</v>
      </c>
      <c r="M19" s="1" t="s">
        <v>49</v>
      </c>
      <c r="N19">
        <v>88.3</v>
      </c>
      <c r="O19">
        <v>70.400000000000006</v>
      </c>
      <c r="P19">
        <v>68.599999999999994</v>
      </c>
      <c r="Q19">
        <v>82.3</v>
      </c>
      <c r="R19">
        <v>79.900000000000006</v>
      </c>
      <c r="S19">
        <v>77.7</v>
      </c>
      <c r="T19">
        <v>3.6</v>
      </c>
      <c r="U19">
        <v>27.24</v>
      </c>
      <c r="V19">
        <v>0</v>
      </c>
      <c r="W19">
        <v>0.25</v>
      </c>
      <c r="X19">
        <v>3.28</v>
      </c>
      <c r="Y19">
        <v>3</v>
      </c>
    </row>
    <row r="20" spans="1:25" x14ac:dyDescent="0.4">
      <c r="A20">
        <v>393</v>
      </c>
      <c r="B20">
        <v>82.4</v>
      </c>
      <c r="C20">
        <v>59.3</v>
      </c>
      <c r="D20">
        <v>0</v>
      </c>
      <c r="E20">
        <v>7.07</v>
      </c>
      <c r="F20">
        <v>0</v>
      </c>
      <c r="G20">
        <v>22.2</v>
      </c>
      <c r="H20">
        <v>0.1</v>
      </c>
      <c r="I20">
        <v>0</v>
      </c>
      <c r="J20">
        <v>0</v>
      </c>
      <c r="K20">
        <v>3.3333333333333333E-2</v>
      </c>
      <c r="L20">
        <v>14</v>
      </c>
      <c r="M20" t="s">
        <v>39</v>
      </c>
      <c r="N20">
        <v>93.6</v>
      </c>
      <c r="O20">
        <v>72.5</v>
      </c>
      <c r="P20">
        <v>72.7</v>
      </c>
      <c r="Q20">
        <v>88.3</v>
      </c>
      <c r="R20">
        <v>86.6</v>
      </c>
      <c r="S20">
        <v>85</v>
      </c>
      <c r="T20">
        <v>1.2</v>
      </c>
      <c r="U20">
        <v>24.93</v>
      </c>
      <c r="V20">
        <v>0</v>
      </c>
      <c r="W20">
        <v>0.24</v>
      </c>
      <c r="X20">
        <v>2.86</v>
      </c>
      <c r="Y20">
        <v>4</v>
      </c>
    </row>
    <row r="21" spans="1:25" x14ac:dyDescent="0.4">
      <c r="A21">
        <v>400</v>
      </c>
      <c r="B21">
        <v>88.9</v>
      </c>
      <c r="C21">
        <v>63.4</v>
      </c>
      <c r="D21">
        <v>0</v>
      </c>
      <c r="E21">
        <v>7.16</v>
      </c>
      <c r="F21">
        <v>0.09</v>
      </c>
      <c r="G21">
        <v>22.5</v>
      </c>
      <c r="H21">
        <v>0.1</v>
      </c>
      <c r="I21">
        <v>0</v>
      </c>
      <c r="J21">
        <v>0.1</v>
      </c>
      <c r="K21">
        <v>6.6666666666666666E-2</v>
      </c>
      <c r="L21">
        <v>13</v>
      </c>
      <c r="M21" t="s">
        <v>39</v>
      </c>
      <c r="N21">
        <v>91</v>
      </c>
      <c r="O21">
        <v>71.099999999999994</v>
      </c>
      <c r="P21">
        <v>72.400000000000006</v>
      </c>
      <c r="Q21">
        <v>90.2</v>
      </c>
      <c r="R21">
        <v>89</v>
      </c>
      <c r="S21">
        <v>87.8</v>
      </c>
      <c r="T21">
        <v>2.4</v>
      </c>
      <c r="U21">
        <v>22.17</v>
      </c>
      <c r="V21">
        <v>0</v>
      </c>
      <c r="W21">
        <v>0.21</v>
      </c>
      <c r="X21">
        <v>3.61</v>
      </c>
      <c r="Y21">
        <v>3</v>
      </c>
    </row>
    <row r="22" spans="1:25" x14ac:dyDescent="0.4">
      <c r="A22">
        <v>407</v>
      </c>
      <c r="B22">
        <v>75.8</v>
      </c>
      <c r="C22">
        <v>54.9</v>
      </c>
      <c r="D22">
        <v>0</v>
      </c>
      <c r="E22">
        <v>7.16</v>
      </c>
      <c r="F22">
        <v>0</v>
      </c>
      <c r="G22">
        <v>22.6</v>
      </c>
      <c r="H22">
        <v>0.1</v>
      </c>
      <c r="I22">
        <v>0.1</v>
      </c>
      <c r="J22">
        <v>0.1</v>
      </c>
      <c r="K22">
        <v>0.10000000000000002</v>
      </c>
      <c r="L22">
        <v>19</v>
      </c>
      <c r="M22" t="s">
        <v>40</v>
      </c>
      <c r="N22">
        <v>95.8</v>
      </c>
      <c r="O22">
        <v>71.2</v>
      </c>
      <c r="P22">
        <v>60.3</v>
      </c>
      <c r="Q22">
        <v>91.6</v>
      </c>
      <c r="R22">
        <v>90.1</v>
      </c>
      <c r="S22">
        <v>88.9</v>
      </c>
      <c r="T22">
        <v>1.8</v>
      </c>
      <c r="U22">
        <v>22.9</v>
      </c>
      <c r="V22">
        <v>0</v>
      </c>
      <c r="W22">
        <v>0.23</v>
      </c>
      <c r="X22">
        <v>2.7</v>
      </c>
      <c r="Y22">
        <v>3</v>
      </c>
    </row>
    <row r="23" spans="1:25" x14ac:dyDescent="0.4">
      <c r="A23">
        <v>414</v>
      </c>
      <c r="B23">
        <v>73.599999999999994</v>
      </c>
      <c r="C23">
        <v>53.2</v>
      </c>
      <c r="D23">
        <v>0</v>
      </c>
      <c r="E23">
        <v>7.1</v>
      </c>
      <c r="F23">
        <v>0</v>
      </c>
      <c r="G23">
        <v>23.5</v>
      </c>
      <c r="H23">
        <v>0.1</v>
      </c>
      <c r="I23">
        <v>0.2</v>
      </c>
      <c r="J23">
        <v>0.1</v>
      </c>
      <c r="K23">
        <v>0.13333333333333333</v>
      </c>
      <c r="L23">
        <v>16</v>
      </c>
      <c r="M23" t="s">
        <v>41</v>
      </c>
      <c r="N23">
        <v>94.4</v>
      </c>
      <c r="O23">
        <v>72</v>
      </c>
      <c r="P23">
        <v>64.900000000000006</v>
      </c>
      <c r="Q23">
        <v>87.6</v>
      </c>
      <c r="R23">
        <v>87.7</v>
      </c>
      <c r="S23">
        <v>85.2</v>
      </c>
      <c r="T23" t="s">
        <v>42</v>
      </c>
      <c r="U23">
        <v>28.56</v>
      </c>
      <c r="V23">
        <v>0</v>
      </c>
      <c r="W23">
        <v>0.28000000000000003</v>
      </c>
      <c r="X23">
        <v>3.92</v>
      </c>
      <c r="Y23">
        <v>5</v>
      </c>
    </row>
    <row r="24" spans="1:25" x14ac:dyDescent="0.4">
      <c r="A24">
        <v>421</v>
      </c>
      <c r="B24">
        <v>76.900000000000006</v>
      </c>
      <c r="C24">
        <v>56.3</v>
      </c>
      <c r="D24">
        <v>0</v>
      </c>
      <c r="E24">
        <v>7.21</v>
      </c>
      <c r="F24">
        <v>0</v>
      </c>
      <c r="G24">
        <v>24.2</v>
      </c>
      <c r="H24">
        <v>0.1</v>
      </c>
      <c r="I24">
        <v>0.1</v>
      </c>
      <c r="J24">
        <v>0.1</v>
      </c>
      <c r="K24">
        <v>0.10000000000000002</v>
      </c>
      <c r="L24">
        <v>17</v>
      </c>
      <c r="M24" t="s">
        <v>43</v>
      </c>
      <c r="N24">
        <v>93.2</v>
      </c>
      <c r="O24">
        <v>76</v>
      </c>
      <c r="P24">
        <v>79.099999999999994</v>
      </c>
      <c r="Q24">
        <v>88.1</v>
      </c>
      <c r="R24">
        <v>86.6</v>
      </c>
      <c r="S24">
        <v>87.7</v>
      </c>
      <c r="T24">
        <v>2.6</v>
      </c>
      <c r="U24">
        <v>17.46</v>
      </c>
      <c r="V24">
        <v>0.75</v>
      </c>
      <c r="W24">
        <v>0.16</v>
      </c>
      <c r="X24">
        <v>3.08</v>
      </c>
      <c r="Y24">
        <v>4</v>
      </c>
    </row>
    <row r="25" spans="1:25" x14ac:dyDescent="0.4">
      <c r="A25">
        <v>428</v>
      </c>
      <c r="B25">
        <v>87.1</v>
      </c>
      <c r="C25">
        <v>63.9</v>
      </c>
      <c r="D25">
        <v>0</v>
      </c>
      <c r="E25">
        <v>7.47</v>
      </c>
      <c r="F25">
        <v>0.01</v>
      </c>
      <c r="G25">
        <v>24.6</v>
      </c>
      <c r="H25">
        <v>0.1</v>
      </c>
      <c r="I25">
        <v>0.1</v>
      </c>
      <c r="J25">
        <v>0</v>
      </c>
      <c r="K25">
        <v>6.6666666666666666E-2</v>
      </c>
      <c r="L25" t="s">
        <v>44</v>
      </c>
      <c r="M25" t="s">
        <v>45</v>
      </c>
      <c r="N25">
        <v>98.7</v>
      </c>
      <c r="O25">
        <v>76</v>
      </c>
      <c r="P25">
        <v>71.3</v>
      </c>
      <c r="Q25">
        <v>92.2</v>
      </c>
      <c r="R25">
        <v>88.9</v>
      </c>
      <c r="S25">
        <v>89.8</v>
      </c>
      <c r="T25">
        <v>2</v>
      </c>
      <c r="U25">
        <v>23.78</v>
      </c>
      <c r="V25">
        <v>0.14000000000000001</v>
      </c>
      <c r="W25">
        <v>0.23</v>
      </c>
      <c r="X25">
        <v>12.49</v>
      </c>
      <c r="Y25">
        <v>5</v>
      </c>
    </row>
    <row r="26" spans="1:25" x14ac:dyDescent="0.4">
      <c r="A26">
        <v>435</v>
      </c>
      <c r="B26">
        <v>57.6</v>
      </c>
      <c r="C26">
        <v>53.7</v>
      </c>
      <c r="D26">
        <v>0</v>
      </c>
      <c r="E26">
        <v>7.05</v>
      </c>
      <c r="F26">
        <v>0</v>
      </c>
      <c r="G26">
        <v>20.100000000000001</v>
      </c>
      <c r="H26">
        <v>0.8</v>
      </c>
      <c r="I26">
        <v>0.8</v>
      </c>
      <c r="J26">
        <v>0.8</v>
      </c>
      <c r="K26">
        <v>0.80000000000000016</v>
      </c>
      <c r="L26">
        <v>18</v>
      </c>
      <c r="M26" t="s">
        <v>36</v>
      </c>
      <c r="N26">
        <v>65.900000000000006</v>
      </c>
      <c r="O26">
        <v>63.8</v>
      </c>
      <c r="P26">
        <v>97.6</v>
      </c>
      <c r="Q26">
        <v>68.900000000000006</v>
      </c>
      <c r="R26">
        <v>70.400000000000006</v>
      </c>
      <c r="S26">
        <v>71.5</v>
      </c>
      <c r="T26">
        <v>4.9000000000000004</v>
      </c>
      <c r="U26">
        <v>3.52</v>
      </c>
      <c r="V26">
        <v>0.83</v>
      </c>
      <c r="W26">
        <v>0.03</v>
      </c>
      <c r="X26">
        <v>12.41</v>
      </c>
      <c r="Y26">
        <v>4</v>
      </c>
    </row>
    <row r="27" spans="1:25" x14ac:dyDescent="0.4">
      <c r="A27">
        <v>442</v>
      </c>
      <c r="B27">
        <v>78.8</v>
      </c>
      <c r="C27">
        <v>54.7</v>
      </c>
      <c r="D27">
        <v>0</v>
      </c>
      <c r="E27">
        <v>7</v>
      </c>
      <c r="F27">
        <v>0.22</v>
      </c>
      <c r="G27">
        <v>22.3</v>
      </c>
      <c r="H27">
        <v>0.8</v>
      </c>
      <c r="I27">
        <v>0.6</v>
      </c>
      <c r="J27">
        <v>0.7</v>
      </c>
      <c r="K27">
        <v>0.69999999999999984</v>
      </c>
      <c r="L27">
        <v>19</v>
      </c>
      <c r="M27" t="s">
        <v>46</v>
      </c>
      <c r="N27">
        <v>81.599999999999994</v>
      </c>
      <c r="O27">
        <v>72.5</v>
      </c>
      <c r="P27">
        <v>92.8</v>
      </c>
      <c r="Q27">
        <v>79</v>
      </c>
      <c r="R27">
        <v>78.7</v>
      </c>
      <c r="S27">
        <v>78</v>
      </c>
      <c r="T27">
        <v>2.2000000000000002</v>
      </c>
      <c r="U27">
        <v>12.89</v>
      </c>
      <c r="V27">
        <v>0.44</v>
      </c>
      <c r="W27">
        <v>0.11</v>
      </c>
      <c r="X27">
        <v>6.45</v>
      </c>
      <c r="Y2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CSS</vt:lpstr>
      <vt:lpstr>Weather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Dawson Deal</dc:creator>
  <cp:lastModifiedBy>Esther Palmer</cp:lastModifiedBy>
  <dcterms:created xsi:type="dcterms:W3CDTF">2026-04-09T15:26:27Z</dcterms:created>
  <dcterms:modified xsi:type="dcterms:W3CDTF">2026-05-07T00:29:55Z</dcterms:modified>
</cp:coreProperties>
</file>